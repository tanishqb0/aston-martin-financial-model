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ishq/Documents/Aston Martin Equity Research Project/"/>
    </mc:Choice>
  </mc:AlternateContent>
  <xr:revisionPtr revIDLastSave="0" documentId="13_ncr:1_{3E8E61CB-9DE9-D84C-9359-A90AEC4D90AD}" xr6:coauthVersionLast="47" xr6:coauthVersionMax="47" xr10:uidLastSave="{00000000-0000-0000-0000-000000000000}"/>
  <bookViews>
    <workbookView xWindow="0" yWindow="660" windowWidth="29400" windowHeight="18460" activeTab="2" xr2:uid="{AA98E4D7-9542-9840-9FD2-96EB0DAA6529}"/>
  </bookViews>
  <sheets>
    <sheet name="Cover" sheetId="1" r:id="rId1"/>
    <sheet name="Historical Financials" sheetId="2" r:id="rId2"/>
    <sheet name="Assumptions" sheetId="3" r:id="rId3"/>
    <sheet name="Income Statement" sheetId="4" r:id="rId4"/>
    <sheet name="Cash Flow" sheetId="5" r:id="rId5"/>
    <sheet name="DCF" sheetId="6" r:id="rId6"/>
    <sheet name="Comparable Companies" sheetId="7" r:id="rId7"/>
    <sheet name="Sensitivity Analysis" sheetId="8" r:id="rId8"/>
    <sheet name="Charts" sheetId="9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5" l="1"/>
  <c r="H16" i="5"/>
  <c r="I16" i="5"/>
  <c r="J16" i="5"/>
  <c r="F16" i="5"/>
  <c r="F11" i="5"/>
  <c r="F17" i="5" s="1"/>
  <c r="F7" i="5" s="1"/>
  <c r="J6" i="5"/>
  <c r="I6" i="5"/>
  <c r="H6" i="5"/>
  <c r="G6" i="5"/>
  <c r="G5" i="5"/>
  <c r="F6" i="5"/>
  <c r="C3" i="5"/>
  <c r="D3" i="5"/>
  <c r="E3" i="5"/>
  <c r="F3" i="5"/>
  <c r="F5" i="5" s="1"/>
  <c r="G3" i="5"/>
  <c r="H3" i="5"/>
  <c r="H5" i="5" s="1"/>
  <c r="I3" i="5"/>
  <c r="I5" i="5" s="1"/>
  <c r="J3" i="5"/>
  <c r="J5" i="5" s="1"/>
  <c r="B3" i="5"/>
  <c r="C6" i="5"/>
  <c r="C8" i="5" s="1"/>
  <c r="D6" i="5"/>
  <c r="E6" i="5"/>
  <c r="B6" i="5"/>
  <c r="C5" i="5"/>
  <c r="D5" i="5"/>
  <c r="E5" i="5"/>
  <c r="B5" i="5"/>
  <c r="J7" i="4"/>
  <c r="J6" i="4" s="1"/>
  <c r="J17" i="4"/>
  <c r="J12" i="4"/>
  <c r="J15" i="4" s="1"/>
  <c r="J18" i="4" s="1"/>
  <c r="J11" i="4"/>
  <c r="J10" i="4"/>
  <c r="J8" i="4"/>
  <c r="J4" i="4"/>
  <c r="J3" i="4"/>
  <c r="F13" i="3"/>
  <c r="F9" i="3"/>
  <c r="F6" i="3"/>
  <c r="F4" i="3"/>
  <c r="I24" i="4"/>
  <c r="I23" i="4"/>
  <c r="I21" i="4"/>
  <c r="I20" i="4"/>
  <c r="I18" i="4"/>
  <c r="I17" i="4"/>
  <c r="I15" i="4"/>
  <c r="I13" i="4"/>
  <c r="I12" i="4"/>
  <c r="I11" i="4"/>
  <c r="I10" i="4"/>
  <c r="I8" i="4"/>
  <c r="I7" i="4" s="1"/>
  <c r="I6" i="4" s="1"/>
  <c r="I4" i="4"/>
  <c r="I3" i="4"/>
  <c r="E13" i="3"/>
  <c r="E9" i="3"/>
  <c r="E6" i="3"/>
  <c r="E4" i="3"/>
  <c r="H24" i="4"/>
  <c r="H23" i="4"/>
  <c r="G23" i="4"/>
  <c r="H21" i="4"/>
  <c r="H20" i="4"/>
  <c r="H18" i="4"/>
  <c r="H17" i="4"/>
  <c r="H15" i="4"/>
  <c r="H13" i="4"/>
  <c r="H12" i="4"/>
  <c r="H11" i="4"/>
  <c r="H10" i="4"/>
  <c r="H8" i="4"/>
  <c r="H7" i="4"/>
  <c r="H6" i="4" s="1"/>
  <c r="H4" i="4"/>
  <c r="H3" i="4"/>
  <c r="D13" i="3"/>
  <c r="C13" i="3"/>
  <c r="D9" i="3"/>
  <c r="D6" i="3"/>
  <c r="C9" i="3"/>
  <c r="G4" i="4" s="1"/>
  <c r="D4" i="3"/>
  <c r="G17" i="4"/>
  <c r="G10" i="4"/>
  <c r="G8" i="4"/>
  <c r="B13" i="3"/>
  <c r="C6" i="3"/>
  <c r="C4" i="3"/>
  <c r="F24" i="4"/>
  <c r="F23" i="4"/>
  <c r="F11" i="4"/>
  <c r="F17" i="4"/>
  <c r="F10" i="4"/>
  <c r="F8" i="4"/>
  <c r="B9" i="3"/>
  <c r="F4" i="4" s="1"/>
  <c r="C23" i="4"/>
  <c r="D23" i="4"/>
  <c r="E23" i="4"/>
  <c r="B23" i="4"/>
  <c r="C20" i="4"/>
  <c r="D20" i="4"/>
  <c r="E20" i="4"/>
  <c r="B20" i="4"/>
  <c r="C12" i="4"/>
  <c r="C15" i="4" s="1"/>
  <c r="C18" i="4" s="1"/>
  <c r="C21" i="4" s="1"/>
  <c r="D12" i="4"/>
  <c r="D15" i="4" s="1"/>
  <c r="D18" i="4" s="1"/>
  <c r="D21" i="4" s="1"/>
  <c r="E12" i="4"/>
  <c r="E15" i="4" s="1"/>
  <c r="E18" i="4" s="1"/>
  <c r="B12" i="4"/>
  <c r="B15" i="4" s="1"/>
  <c r="B18" i="4" s="1"/>
  <c r="C10" i="4"/>
  <c r="D10" i="4"/>
  <c r="E10" i="4"/>
  <c r="B10" i="4"/>
  <c r="C7" i="4"/>
  <c r="D7" i="4"/>
  <c r="E7" i="4"/>
  <c r="B7" i="4"/>
  <c r="C6" i="4"/>
  <c r="D6" i="4"/>
  <c r="E6" i="4"/>
  <c r="B6" i="4"/>
  <c r="C3" i="4"/>
  <c r="D3" i="4"/>
  <c r="E3" i="4"/>
  <c r="B3" i="4"/>
  <c r="C19" i="2"/>
  <c r="D19" i="2"/>
  <c r="E19" i="2"/>
  <c r="B19" i="2"/>
  <c r="C11" i="2"/>
  <c r="D11" i="2"/>
  <c r="E11" i="2"/>
  <c r="B11" i="2"/>
  <c r="C7" i="2"/>
  <c r="D7" i="2"/>
  <c r="E7" i="2"/>
  <c r="B7" i="2"/>
  <c r="D4" i="2"/>
  <c r="E4" i="2"/>
  <c r="C4" i="2"/>
  <c r="D8" i="5" l="1"/>
  <c r="B8" i="5"/>
  <c r="E8" i="5"/>
  <c r="J23" i="4"/>
  <c r="J24" i="4" s="1"/>
  <c r="J20" i="4"/>
  <c r="J21" i="4" s="1"/>
  <c r="J13" i="4"/>
  <c r="G3" i="4"/>
  <c r="G11" i="4" s="1"/>
  <c r="G7" i="4"/>
  <c r="B21" i="4"/>
  <c r="E21" i="4"/>
  <c r="F3" i="4"/>
  <c r="D4" i="4"/>
  <c r="B24" i="4"/>
  <c r="C4" i="4"/>
  <c r="C13" i="4"/>
  <c r="C24" i="4"/>
  <c r="D8" i="4"/>
  <c r="D24" i="4"/>
  <c r="D13" i="4"/>
  <c r="C8" i="4"/>
  <c r="B8" i="4"/>
  <c r="B13" i="4"/>
  <c r="E4" i="4"/>
  <c r="E8" i="4"/>
  <c r="E13" i="4"/>
  <c r="E24" i="4"/>
  <c r="G12" i="4" l="1"/>
  <c r="G6" i="4"/>
  <c r="F7" i="4"/>
  <c r="F12" i="4"/>
  <c r="F6" i="4"/>
  <c r="G15" i="4" l="1"/>
  <c r="G18" i="4" s="1"/>
  <c r="G20" i="4" s="1"/>
  <c r="G21" i="4" s="1"/>
  <c r="G13" i="4"/>
  <c r="G24" i="4"/>
  <c r="F15" i="4"/>
  <c r="F18" i="4" s="1"/>
  <c r="F13" i="4"/>
  <c r="F20" i="4" l="1"/>
  <c r="F21" i="4" s="1"/>
  <c r="F8" i="5"/>
  <c r="F12" i="5"/>
  <c r="F13" i="5" s="1"/>
  <c r="F14" i="5" s="1"/>
  <c r="F15" i="5" l="1"/>
  <c r="G11" i="5"/>
  <c r="G17" i="5" s="1"/>
  <c r="G7" i="5" s="1"/>
  <c r="G8" i="5" s="1"/>
  <c r="G12" i="5" s="1"/>
  <c r="G13" i="5" s="1"/>
  <c r="G14" i="5" l="1"/>
  <c r="H11" i="5" s="1"/>
  <c r="H17" i="5" s="1"/>
  <c r="H7" i="5" s="1"/>
  <c r="H8" i="5" s="1"/>
  <c r="H12" i="5" s="1"/>
  <c r="H13" i="5" s="1"/>
  <c r="H14" i="5" l="1"/>
  <c r="I11" i="5" s="1"/>
  <c r="I17" i="5" s="1"/>
  <c r="I7" i="5" s="1"/>
  <c r="I8" i="5" s="1"/>
  <c r="I12" i="5" s="1"/>
  <c r="I13" i="5" s="1"/>
  <c r="G15" i="5"/>
  <c r="I14" i="5" l="1"/>
  <c r="J11" i="5" s="1"/>
  <c r="J17" i="5" s="1"/>
  <c r="J7" i="5" s="1"/>
  <c r="J8" i="5" s="1"/>
  <c r="J12" i="5" s="1"/>
  <c r="J13" i="5" s="1"/>
  <c r="I15" i="5"/>
  <c r="H15" i="5"/>
  <c r="J14" i="5" l="1"/>
  <c r="J15" i="5" s="1"/>
</calcChain>
</file>

<file path=xl/sharedStrings.xml><?xml version="1.0" encoding="utf-8"?>
<sst xmlns="http://schemas.openxmlformats.org/spreadsheetml/2006/main" count="97" uniqueCount="55">
  <si>
    <t>2022A</t>
  </si>
  <si>
    <t>2023A</t>
  </si>
  <si>
    <t>2024A</t>
  </si>
  <si>
    <t>2025A</t>
  </si>
  <si>
    <t>Financial Metric</t>
  </si>
  <si>
    <t>Revenue Growth</t>
  </si>
  <si>
    <t>Cost of Sales</t>
  </si>
  <si>
    <t>Gross Margin</t>
  </si>
  <si>
    <t>Tax</t>
  </si>
  <si>
    <t>Capital Expenditure</t>
  </si>
  <si>
    <t>Adjusted Operating Expenses</t>
  </si>
  <si>
    <t>Adjusted EBIT Margin</t>
  </si>
  <si>
    <t>Net Income / (Loss)</t>
  </si>
  <si>
    <t>Adjusted EBITDA Margin</t>
  </si>
  <si>
    <t>Wholesale Volumes</t>
  </si>
  <si>
    <t>Revenue (£m)</t>
  </si>
  <si>
    <t>Gross Profit (£m)</t>
  </si>
  <si>
    <t>Adjusted EBIT (£m)</t>
  </si>
  <si>
    <t>Loss Before Tax (£m)</t>
  </si>
  <si>
    <t>Adjusted EBITDA (£m)</t>
  </si>
  <si>
    <t>Operating Cash Flow (£m)</t>
  </si>
  <si>
    <t>Free Cash Flow (£m)</t>
  </si>
  <si>
    <t>Cash (£m)</t>
  </si>
  <si>
    <t>Borrowings (£m)</t>
  </si>
  <si>
    <t>Net Debt (£m)</t>
  </si>
  <si>
    <t>Reported Operating Profit / (Loss) (£m)</t>
  </si>
  <si>
    <t>2026E</t>
  </si>
  <si>
    <t>2027E</t>
  </si>
  <si>
    <t>2028E</t>
  </si>
  <si>
    <t>2029E</t>
  </si>
  <si>
    <t>2030E</t>
  </si>
  <si>
    <t>Cost of Sales (£m)</t>
  </si>
  <si>
    <t>Adjusted Operating Expenses (£m)</t>
  </si>
  <si>
    <t>Net Financing Expense (£m)</t>
  </si>
  <si>
    <t>Tax (£m)</t>
  </si>
  <si>
    <t>Net Income / (Loss) (£m)</t>
  </si>
  <si>
    <t>Adjusting Operating Items (£m)</t>
  </si>
  <si>
    <t>Wholesale Volume Growth</t>
  </si>
  <si>
    <t>Average Selling Price (£k)</t>
  </si>
  <si>
    <t>ASP Growth</t>
  </si>
  <si>
    <t>Capital Expenditure (£m)</t>
  </si>
  <si>
    <t>Tax Rate</t>
  </si>
  <si>
    <t>Other Revenue (£m)</t>
  </si>
  <si>
    <t>D&amp;A (%Revenue)</t>
  </si>
  <si>
    <t>D&amp;A (£m)</t>
  </si>
  <si>
    <t>Net Cash Interest Paid (£m)</t>
  </si>
  <si>
    <t>Opening Net Debt (£m)</t>
  </si>
  <si>
    <t>Net Debt Change (£m)</t>
  </si>
  <si>
    <t>Closing Net Debt (£m)</t>
  </si>
  <si>
    <t>Average Net Debt (£m)</t>
  </si>
  <si>
    <t>Interest Rate on Net Debt</t>
  </si>
  <si>
    <t>Implied Cash Interest (£m)</t>
  </si>
  <si>
    <t>Change in Working Capital (£m)</t>
  </si>
  <si>
    <t>Working Capital Change (%Revenue)</t>
  </si>
  <si>
    <t>Other Operating Cash Adjustments (&amp;Revenue)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</si>
</sst>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10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19AE2-E316-6B42-A19D-C4B5E9D15DDF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057E0-154B-BE4B-81F7-798D1FB6669A}">
  <dimension ref="A1:E29"/>
  <sheetViews>
    <sheetView workbookViewId="0">
      <selection activeCell="B22" sqref="B22"/>
    </sheetView>
  </sheetViews>
  <sheetFormatPr baseColWidth="10" defaultRowHeight="16" x14ac:dyDescent="0.2"/>
  <cols>
    <col min="1" max="1" width="31.83203125" customWidth="1"/>
    <col min="2" max="2" width="10.83203125" customWidth="1"/>
  </cols>
  <sheetData>
    <row r="1" spans="1:5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3" spans="1:5" x14ac:dyDescent="0.2">
      <c r="A3" t="s">
        <v>15</v>
      </c>
      <c r="B3">
        <v>1381.5</v>
      </c>
      <c r="C3">
        <v>1633</v>
      </c>
      <c r="D3">
        <v>1583.9</v>
      </c>
      <c r="E3">
        <v>1257.7</v>
      </c>
    </row>
    <row r="4" spans="1:5" x14ac:dyDescent="0.2">
      <c r="A4" t="s">
        <v>5</v>
      </c>
      <c r="C4" s="3">
        <f>C3/B3-1</f>
        <v>0.18204849800941014</v>
      </c>
      <c r="D4" s="3">
        <f t="shared" ref="D4:E4" si="0">D3/C3-1</f>
        <v>-3.006736068585425E-2</v>
      </c>
      <c r="E4" s="3">
        <f t="shared" si="0"/>
        <v>-0.20594734516067936</v>
      </c>
    </row>
    <row r="5" spans="1:5" x14ac:dyDescent="0.2">
      <c r="A5" t="s">
        <v>6</v>
      </c>
      <c r="B5">
        <v>-930.8</v>
      </c>
      <c r="C5">
        <v>-993.6</v>
      </c>
      <c r="D5">
        <v>-1000</v>
      </c>
      <c r="E5">
        <v>-887.9</v>
      </c>
    </row>
    <row r="6" spans="1:5" x14ac:dyDescent="0.2">
      <c r="A6" t="s">
        <v>16</v>
      </c>
      <c r="B6">
        <v>450.7</v>
      </c>
      <c r="C6">
        <v>639</v>
      </c>
      <c r="D6">
        <v>583.9</v>
      </c>
      <c r="E6">
        <v>369.8</v>
      </c>
    </row>
    <row r="7" spans="1:5" x14ac:dyDescent="0.2">
      <c r="A7" t="s">
        <v>7</v>
      </c>
      <c r="B7" s="3">
        <f>B6/B3</f>
        <v>0.32623959464350344</v>
      </c>
      <c r="C7" s="3">
        <f t="shared" ref="C7:E7" si="1">C6/C3</f>
        <v>0.39130434782608697</v>
      </c>
      <c r="D7" s="3">
        <f t="shared" si="1"/>
        <v>0.36864701054359489</v>
      </c>
      <c r="E7" s="3">
        <f t="shared" si="1"/>
        <v>0.29402878269857674</v>
      </c>
    </row>
    <row r="9" spans="1:5" x14ac:dyDescent="0.2">
      <c r="A9" t="s">
        <v>10</v>
      </c>
      <c r="B9">
        <v>-568.6</v>
      </c>
      <c r="C9">
        <v>-718.9</v>
      </c>
      <c r="D9">
        <v>-666.7</v>
      </c>
      <c r="E9">
        <v>-559</v>
      </c>
    </row>
    <row r="10" spans="1:5" x14ac:dyDescent="0.2">
      <c r="A10" t="s">
        <v>17</v>
      </c>
      <c r="B10">
        <v>-117.9</v>
      </c>
      <c r="C10">
        <v>-79.7</v>
      </c>
      <c r="D10">
        <v>-82.8</v>
      </c>
      <c r="E10">
        <v>-189.2</v>
      </c>
    </row>
    <row r="11" spans="1:5" x14ac:dyDescent="0.2">
      <c r="A11" t="s">
        <v>11</v>
      </c>
      <c r="B11" s="3">
        <f>B10/B3</f>
        <v>-8.534201954397394E-2</v>
      </c>
      <c r="C11" s="3">
        <f t="shared" ref="C11:E11" si="2">C10/C3</f>
        <v>-4.8805878750765461E-2</v>
      </c>
      <c r="D11" s="3">
        <f t="shared" si="2"/>
        <v>-5.2276027526990336E-2</v>
      </c>
      <c r="E11" s="3">
        <f t="shared" si="2"/>
        <v>-0.15043333068299275</v>
      </c>
    </row>
    <row r="12" spans="1:5" x14ac:dyDescent="0.2">
      <c r="A12" t="s">
        <v>25</v>
      </c>
      <c r="B12">
        <v>-141.80000000000001</v>
      </c>
      <c r="C12">
        <v>-111.2</v>
      </c>
      <c r="D12">
        <v>-99.5</v>
      </c>
      <c r="E12">
        <v>-259.2</v>
      </c>
    </row>
    <row r="14" spans="1:5" x14ac:dyDescent="0.2">
      <c r="A14" t="s">
        <v>18</v>
      </c>
      <c r="B14">
        <v>-495</v>
      </c>
      <c r="C14">
        <v>-239.8</v>
      </c>
      <c r="D14">
        <v>-289.10000000000002</v>
      </c>
      <c r="E14">
        <v>-363.9</v>
      </c>
    </row>
    <row r="15" spans="1:5" x14ac:dyDescent="0.2">
      <c r="A15" t="s">
        <v>8</v>
      </c>
      <c r="B15">
        <v>-32.700000000000003</v>
      </c>
      <c r="C15">
        <v>13</v>
      </c>
      <c r="D15">
        <v>-34.4</v>
      </c>
      <c r="E15">
        <v>-129.1</v>
      </c>
    </row>
    <row r="16" spans="1:5" x14ac:dyDescent="0.2">
      <c r="A16" t="s">
        <v>12</v>
      </c>
      <c r="B16">
        <v>-527.70000000000005</v>
      </c>
      <c r="C16">
        <v>-226.8</v>
      </c>
      <c r="D16">
        <v>-323.5</v>
      </c>
      <c r="E16">
        <v>-493</v>
      </c>
    </row>
    <row r="18" spans="1:5" x14ac:dyDescent="0.2">
      <c r="A18" t="s">
        <v>19</v>
      </c>
      <c r="B18">
        <v>190.2</v>
      </c>
      <c r="C18">
        <v>305.89999999999998</v>
      </c>
      <c r="D18">
        <v>271</v>
      </c>
      <c r="E18">
        <v>108.1</v>
      </c>
    </row>
    <row r="19" spans="1:5" x14ac:dyDescent="0.2">
      <c r="A19" t="s">
        <v>13</v>
      </c>
      <c r="B19" s="3">
        <f>B18/B3</f>
        <v>0.13767643865363735</v>
      </c>
      <c r="C19" s="3">
        <f t="shared" ref="C19:E19" si="3">C18/C3</f>
        <v>0.1873239436619718</v>
      </c>
      <c r="D19" s="3">
        <f t="shared" si="3"/>
        <v>0.17109666014268576</v>
      </c>
      <c r="E19" s="3">
        <f t="shared" si="3"/>
        <v>8.5950544644986873E-2</v>
      </c>
    </row>
    <row r="21" spans="1:5" x14ac:dyDescent="0.2">
      <c r="A21" t="s">
        <v>20</v>
      </c>
      <c r="B21">
        <v>127.1</v>
      </c>
      <c r="C21">
        <v>145.9</v>
      </c>
      <c r="D21">
        <v>123.9</v>
      </c>
      <c r="E21">
        <v>74.099999999999994</v>
      </c>
    </row>
    <row r="22" spans="1:5" x14ac:dyDescent="0.2">
      <c r="A22" t="s">
        <v>9</v>
      </c>
      <c r="B22">
        <v>-286.89999999999998</v>
      </c>
      <c r="C22">
        <v>-396.9</v>
      </c>
      <c r="D22">
        <v>-400.6</v>
      </c>
      <c r="E22">
        <v>-341</v>
      </c>
    </row>
    <row r="23" spans="1:5" x14ac:dyDescent="0.2">
      <c r="A23" t="s">
        <v>21</v>
      </c>
      <c r="B23">
        <v>-298.8</v>
      </c>
      <c r="C23">
        <v>-360</v>
      </c>
      <c r="D23">
        <v>-391.6</v>
      </c>
      <c r="E23">
        <v>-409.9</v>
      </c>
    </row>
    <row r="25" spans="1:5" x14ac:dyDescent="0.2">
      <c r="A25" t="s">
        <v>22</v>
      </c>
      <c r="B25">
        <v>583.29999999999995</v>
      </c>
      <c r="C25">
        <v>392.4</v>
      </c>
      <c r="D25">
        <v>359.6</v>
      </c>
      <c r="E25">
        <v>249.9</v>
      </c>
    </row>
    <row r="26" spans="1:5" x14ac:dyDescent="0.2">
      <c r="A26" t="s">
        <v>23</v>
      </c>
      <c r="D26">
        <v>1387.3</v>
      </c>
      <c r="E26">
        <v>1500.2</v>
      </c>
    </row>
    <row r="27" spans="1:5" x14ac:dyDescent="0.2">
      <c r="A27" t="s">
        <v>24</v>
      </c>
      <c r="B27">
        <v>765.5</v>
      </c>
      <c r="C27">
        <v>814.3</v>
      </c>
      <c r="D27">
        <v>1162.7</v>
      </c>
      <c r="E27">
        <v>1380.3</v>
      </c>
    </row>
    <row r="29" spans="1:5" x14ac:dyDescent="0.2">
      <c r="A29" t="s">
        <v>14</v>
      </c>
      <c r="B29">
        <v>6412</v>
      </c>
      <c r="C29">
        <v>6620</v>
      </c>
      <c r="D29">
        <v>6030</v>
      </c>
      <c r="E29">
        <v>5448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EC88F-9248-FC49-B337-26D41CE5DE7D}">
  <dimension ref="A1:F22"/>
  <sheetViews>
    <sheetView tabSelected="1" workbookViewId="0">
      <selection activeCell="D5" sqref="D5"/>
    </sheetView>
  </sheetViews>
  <sheetFormatPr baseColWidth="10" defaultRowHeight="16" x14ac:dyDescent="0.2"/>
  <cols>
    <col min="1" max="1" width="39.33203125" customWidth="1"/>
    <col min="2" max="2" width="10.83203125" customWidth="1"/>
  </cols>
  <sheetData>
    <row r="1" spans="1:6" x14ac:dyDescent="0.2">
      <c r="A1" t="s">
        <v>4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</row>
    <row r="3" spans="1:6" x14ac:dyDescent="0.2">
      <c r="A3" t="s">
        <v>14</v>
      </c>
      <c r="B3">
        <v>5450</v>
      </c>
      <c r="C3">
        <v>5700</v>
      </c>
      <c r="D3">
        <v>5900</v>
      </c>
      <c r="E3">
        <v>6050</v>
      </c>
      <c r="F3">
        <v>6150</v>
      </c>
    </row>
    <row r="4" spans="1:6" s="3" customFormat="1" x14ac:dyDescent="0.2">
      <c r="A4" s="3" t="s">
        <v>37</v>
      </c>
      <c r="C4" s="3">
        <f>C3/B3-1</f>
        <v>4.587155963302747E-2</v>
      </c>
      <c r="D4" s="3">
        <f>D3/C3-1</f>
        <v>3.5087719298245723E-2</v>
      </c>
      <c r="E4" s="3">
        <f>E3/D3-1</f>
        <v>2.5423728813559254E-2</v>
      </c>
      <c r="F4" s="3">
        <f>F3/E3-1</f>
        <v>1.6528925619834656E-2</v>
      </c>
    </row>
    <row r="6" spans="1:6" x14ac:dyDescent="0.2">
      <c r="A6" t="s">
        <v>38</v>
      </c>
      <c r="B6">
        <v>225</v>
      </c>
      <c r="C6">
        <f>B6*(1+C7)</f>
        <v>236.25</v>
      </c>
      <c r="D6">
        <f>C6*(1+D7)</f>
        <v>245.70000000000002</v>
      </c>
      <c r="E6">
        <f>D6*(1+E7)</f>
        <v>254.29949999999999</v>
      </c>
      <c r="F6">
        <f>E6*(1+F7)</f>
        <v>261.92848500000002</v>
      </c>
    </row>
    <row r="7" spans="1:6" x14ac:dyDescent="0.2">
      <c r="A7" t="s">
        <v>39</v>
      </c>
      <c r="B7" s="2">
        <v>7.6999999999999999E-2</v>
      </c>
      <c r="C7" s="1">
        <v>0.05</v>
      </c>
      <c r="D7" s="1">
        <v>0.04</v>
      </c>
      <c r="E7" s="2">
        <v>3.5000000000000003E-2</v>
      </c>
      <c r="F7" s="1">
        <v>0.03</v>
      </c>
    </row>
    <row r="9" spans="1:6" s="3" customFormat="1" x14ac:dyDescent="0.2">
      <c r="A9" s="3" t="s">
        <v>5</v>
      </c>
      <c r="B9" s="3">
        <f>((B3*B6)/1000+B18)/'Historical Financials'!E3-1</f>
        <v>6.6430786356046712E-2</v>
      </c>
      <c r="C9" s="3">
        <f>((C3*C6)/1000+C18)/((B3*B6)/1000+B18)-1</f>
        <v>9.3476234855545126E-2</v>
      </c>
      <c r="D9" s="3">
        <f>((D3*D6)/1000+D18)/((C3*C6)/1000+C18)-1</f>
        <v>7.3641864825705339E-2</v>
      </c>
      <c r="E9" s="3">
        <f>((E3*E6)/1000+E18)/((D3*D6)/1000+D18)-1</f>
        <v>5.9621609520966734E-2</v>
      </c>
      <c r="F9" s="3">
        <f>((F3*F6)/1000+F18)/((E3*E6)/1000+E18)-1</f>
        <v>4.6357598212623197E-2</v>
      </c>
    </row>
    <row r="10" spans="1:6" s="3" customFormat="1" x14ac:dyDescent="0.2">
      <c r="A10" s="4" t="s">
        <v>7</v>
      </c>
      <c r="B10" s="3">
        <v>0.37</v>
      </c>
      <c r="C10" s="3">
        <v>0.38500000000000001</v>
      </c>
      <c r="D10" s="3">
        <v>0.39500000000000002</v>
      </c>
      <c r="E10" s="3">
        <v>0.4</v>
      </c>
      <c r="F10" s="3">
        <v>0.40500000000000003</v>
      </c>
    </row>
    <row r="12" spans="1:6" x14ac:dyDescent="0.2">
      <c r="A12" t="s">
        <v>32</v>
      </c>
      <c r="B12">
        <v>-535</v>
      </c>
      <c r="C12">
        <v>-545</v>
      </c>
      <c r="D12">
        <v>-550</v>
      </c>
      <c r="E12">
        <v>-555</v>
      </c>
      <c r="F12">
        <v>-565</v>
      </c>
    </row>
    <row r="13" spans="1:6" s="3" customFormat="1" x14ac:dyDescent="0.2">
      <c r="A13" s="3" t="s">
        <v>11</v>
      </c>
      <c r="B13" s="3">
        <f>B10+B12/(((B3*B6)/1000)+B18)</f>
        <v>-2.8881640260950636E-2</v>
      </c>
      <c r="C13" s="3">
        <f>C10+C12/(((C3*C6)/1000)+C18)</f>
        <v>1.3398534049262778E-2</v>
      </c>
      <c r="D13" s="3">
        <f>D10+D12/(((D3*D6)/1000)+D18)</f>
        <v>4.5711595739951649E-2</v>
      </c>
      <c r="E13" s="3">
        <f>E10+E12/(((E3*E6)/1000)+E18)</f>
        <v>6.7368284845543303E-2</v>
      </c>
      <c r="F13" s="3">
        <f>F10+F12/(((F3*F6)/1000)+F18)</f>
        <v>8.1377292074994556E-2</v>
      </c>
    </row>
    <row r="14" spans="1:6" s="3" customFormat="1" x14ac:dyDescent="0.2"/>
    <row r="15" spans="1:6" x14ac:dyDescent="0.2">
      <c r="A15" t="s">
        <v>43</v>
      </c>
      <c r="B15" s="2">
        <v>0.23599999999999999</v>
      </c>
      <c r="C15" s="2">
        <v>0.23599999999999999</v>
      </c>
      <c r="D15" s="2">
        <v>0.23599999999999999</v>
      </c>
      <c r="E15" s="2">
        <v>0.23600000000000002</v>
      </c>
      <c r="F15" s="2">
        <v>0.23600000000000002</v>
      </c>
    </row>
    <row r="16" spans="1:6" x14ac:dyDescent="0.2">
      <c r="A16" t="s">
        <v>40</v>
      </c>
      <c r="B16">
        <v>-340</v>
      </c>
      <c r="C16">
        <v>-340</v>
      </c>
      <c r="D16">
        <v>-340</v>
      </c>
      <c r="E16">
        <v>-340</v>
      </c>
      <c r="F16">
        <v>-340</v>
      </c>
    </row>
    <row r="17" spans="1:6" x14ac:dyDescent="0.2">
      <c r="A17" t="s">
        <v>41</v>
      </c>
      <c r="B17" s="1">
        <v>0.25</v>
      </c>
      <c r="C17" s="1">
        <v>0.25</v>
      </c>
      <c r="D17" s="1">
        <v>0.25</v>
      </c>
      <c r="E17" s="1">
        <v>0.25</v>
      </c>
      <c r="F17" s="1">
        <v>0.25</v>
      </c>
    </row>
    <row r="18" spans="1:6" x14ac:dyDescent="0.2">
      <c r="A18" t="s">
        <v>42</v>
      </c>
      <c r="B18">
        <v>115</v>
      </c>
      <c r="C18">
        <v>120</v>
      </c>
      <c r="D18">
        <v>125</v>
      </c>
      <c r="E18">
        <v>130</v>
      </c>
      <c r="F18">
        <v>135</v>
      </c>
    </row>
    <row r="20" spans="1:6" x14ac:dyDescent="0.2">
      <c r="A20" t="s">
        <v>54</v>
      </c>
      <c r="B20" s="2">
        <v>0.68500000000000005</v>
      </c>
      <c r="C20" s="2">
        <v>0.68500000000000005</v>
      </c>
      <c r="D20" s="2">
        <v>0.68500000000000005</v>
      </c>
      <c r="E20" s="2">
        <v>0.68500000000000005</v>
      </c>
      <c r="F20" s="2">
        <v>0.68500000000000005</v>
      </c>
    </row>
    <row r="21" spans="1:6" x14ac:dyDescent="0.2">
      <c r="A21" t="s">
        <v>50</v>
      </c>
      <c r="B21" s="2">
        <v>0.105</v>
      </c>
      <c r="C21" s="2">
        <v>0.105</v>
      </c>
      <c r="D21" s="2">
        <v>0.105</v>
      </c>
      <c r="E21" s="2">
        <v>0.105</v>
      </c>
      <c r="F21" s="2">
        <v>0.105</v>
      </c>
    </row>
    <row r="22" spans="1:6" x14ac:dyDescent="0.2">
      <c r="A22" t="s">
        <v>53</v>
      </c>
      <c r="B22" s="1">
        <v>-0.01</v>
      </c>
      <c r="C22" s="1">
        <v>-0.01</v>
      </c>
      <c r="D22" s="1">
        <v>-0.01</v>
      </c>
      <c r="E22" s="1">
        <v>-0.01</v>
      </c>
      <c r="F22" s="1">
        <v>-0.01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7DC79-F328-C342-9594-1E55A5556922}">
  <dimension ref="A1:J24"/>
  <sheetViews>
    <sheetView workbookViewId="0">
      <selection activeCell="J15" sqref="J15"/>
    </sheetView>
  </sheetViews>
  <sheetFormatPr baseColWidth="10" defaultRowHeight="16" x14ac:dyDescent="0.2"/>
  <cols>
    <col min="1" max="1" width="31.6640625" customWidth="1"/>
  </cols>
  <sheetData>
    <row r="1" spans="1:10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</row>
    <row r="3" spans="1:10" x14ac:dyDescent="0.2">
      <c r="A3" t="s">
        <v>15</v>
      </c>
      <c r="B3">
        <f>'Historical Financials'!B3</f>
        <v>1381.5</v>
      </c>
      <c r="C3">
        <f>'Historical Financials'!C3</f>
        <v>1633</v>
      </c>
      <c r="D3">
        <f>'Historical Financials'!D3</f>
        <v>1583.9</v>
      </c>
      <c r="E3">
        <f>'Historical Financials'!E3</f>
        <v>1257.7</v>
      </c>
      <c r="F3">
        <f>E3*(1+Assumptions!B9)</f>
        <v>1341.25</v>
      </c>
      <c r="G3">
        <f>F3*(1+Assumptions!C9)</f>
        <v>1466.625</v>
      </c>
      <c r="H3">
        <f>G3*(1+Assumptions!D9)</f>
        <v>1574.63</v>
      </c>
      <c r="I3">
        <f>H3*(1+Assumptions!E9)</f>
        <v>1668.5119749999999</v>
      </c>
      <c r="J3">
        <f>I3*(1+Assumptions!F9)</f>
        <v>1745.8601827500004</v>
      </c>
    </row>
    <row r="4" spans="1:10" s="3" customFormat="1" x14ac:dyDescent="0.2">
      <c r="A4" s="3" t="s">
        <v>5</v>
      </c>
      <c r="C4" s="3">
        <f>C3/B3-1</f>
        <v>0.18204849800941014</v>
      </c>
      <c r="D4" s="3">
        <f t="shared" ref="D4:E4" si="0">D3/C3-1</f>
        <v>-3.006736068585425E-2</v>
      </c>
      <c r="E4" s="3">
        <f t="shared" si="0"/>
        <v>-0.20594734516067936</v>
      </c>
      <c r="F4" s="3">
        <f>Assumptions!B9</f>
        <v>6.6430786356046712E-2</v>
      </c>
      <c r="G4" s="3">
        <f>Assumptions!C9</f>
        <v>9.3476234855545126E-2</v>
      </c>
      <c r="H4" s="3">
        <f>Assumptions!D9</f>
        <v>7.3641864825705339E-2</v>
      </c>
      <c r="I4" s="3">
        <f>Assumptions!E9</f>
        <v>5.9621609520966734E-2</v>
      </c>
      <c r="J4" s="3">
        <f>Assumptions!F9</f>
        <v>4.6357598212623197E-2</v>
      </c>
    </row>
    <row r="6" spans="1:10" x14ac:dyDescent="0.2">
      <c r="A6" t="s">
        <v>31</v>
      </c>
      <c r="B6">
        <f>'Historical Financials'!B5</f>
        <v>-930.8</v>
      </c>
      <c r="C6">
        <f>'Historical Financials'!C5</f>
        <v>-993.6</v>
      </c>
      <c r="D6">
        <f>'Historical Financials'!D5</f>
        <v>-1000</v>
      </c>
      <c r="E6">
        <f>'Historical Financials'!E5</f>
        <v>-887.9</v>
      </c>
      <c r="F6">
        <f>F7-F3</f>
        <v>-844.98749999999995</v>
      </c>
      <c r="G6">
        <f>G7-G3</f>
        <v>-901.97437500000001</v>
      </c>
      <c r="H6">
        <f>H7-H3</f>
        <v>-952.65115000000003</v>
      </c>
      <c r="I6">
        <f>I7-I3</f>
        <v>-1001.1071849999998</v>
      </c>
      <c r="J6">
        <f>J7-J3</f>
        <v>-1038.7868087362501</v>
      </c>
    </row>
    <row r="7" spans="1:10" x14ac:dyDescent="0.2">
      <c r="A7" t="s">
        <v>16</v>
      </c>
      <c r="B7">
        <f>'Historical Financials'!B6</f>
        <v>450.7</v>
      </c>
      <c r="C7">
        <f>'Historical Financials'!C6</f>
        <v>639</v>
      </c>
      <c r="D7">
        <f>'Historical Financials'!D6</f>
        <v>583.9</v>
      </c>
      <c r="E7">
        <f>'Historical Financials'!E6</f>
        <v>369.8</v>
      </c>
      <c r="F7">
        <f>F3*F8</f>
        <v>496.26249999999999</v>
      </c>
      <c r="G7">
        <f>G3*G8</f>
        <v>564.65062499999999</v>
      </c>
      <c r="H7">
        <f>H3*H8</f>
        <v>621.97885000000008</v>
      </c>
      <c r="I7">
        <f>I3*I8</f>
        <v>667.40479000000005</v>
      </c>
      <c r="J7">
        <f>J3*J8</f>
        <v>707.07337401375025</v>
      </c>
    </row>
    <row r="8" spans="1:10" x14ac:dyDescent="0.2">
      <c r="A8" t="s">
        <v>7</v>
      </c>
      <c r="B8" s="3">
        <f>B7/B3</f>
        <v>0.32623959464350344</v>
      </c>
      <c r="C8" s="3">
        <f t="shared" ref="C8:E8" si="1">C7/C3</f>
        <v>0.39130434782608697</v>
      </c>
      <c r="D8" s="3">
        <f t="shared" si="1"/>
        <v>0.36864701054359489</v>
      </c>
      <c r="E8" s="3">
        <f t="shared" si="1"/>
        <v>0.29402878269857674</v>
      </c>
      <c r="F8" s="3">
        <f>Assumptions!B10</f>
        <v>0.37</v>
      </c>
      <c r="G8" s="3">
        <f>Assumptions!C10</f>
        <v>0.38500000000000001</v>
      </c>
      <c r="H8" s="3">
        <f>Assumptions!D10</f>
        <v>0.39500000000000002</v>
      </c>
      <c r="I8" s="3">
        <f>Assumptions!E10</f>
        <v>0.4</v>
      </c>
      <c r="J8" s="3">
        <f>Assumptions!F10</f>
        <v>0.40500000000000003</v>
      </c>
    </row>
    <row r="10" spans="1:10" x14ac:dyDescent="0.2">
      <c r="A10" t="s">
        <v>32</v>
      </c>
      <c r="B10">
        <f>'Historical Financials'!B9</f>
        <v>-568.6</v>
      </c>
      <c r="C10">
        <f>'Historical Financials'!C9</f>
        <v>-718.9</v>
      </c>
      <c r="D10">
        <f>'Historical Financials'!D9</f>
        <v>-666.7</v>
      </c>
      <c r="E10">
        <f>'Historical Financials'!E9</f>
        <v>-559</v>
      </c>
      <c r="F10">
        <f>Assumptions!B12</f>
        <v>-535</v>
      </c>
      <c r="G10">
        <f>Assumptions!C12</f>
        <v>-545</v>
      </c>
      <c r="H10">
        <f>Assumptions!D12</f>
        <v>-550</v>
      </c>
      <c r="I10">
        <f>Assumptions!E12</f>
        <v>-555</v>
      </c>
      <c r="J10">
        <f>Assumptions!F12</f>
        <v>-565</v>
      </c>
    </row>
    <row r="11" spans="1:10" x14ac:dyDescent="0.2">
      <c r="A11" t="s">
        <v>44</v>
      </c>
      <c r="F11">
        <f>F3*Assumptions!B15</f>
        <v>316.53499999999997</v>
      </c>
      <c r="G11">
        <f>G3*Assumptions!C15</f>
        <v>346.12349999999998</v>
      </c>
      <c r="H11">
        <f>H3*Assumptions!D15</f>
        <v>371.61268000000001</v>
      </c>
      <c r="I11">
        <f>I3*Assumptions!E15</f>
        <v>393.76882610000001</v>
      </c>
      <c r="J11">
        <f>J3*Assumptions!F15</f>
        <v>412.02300312900013</v>
      </c>
    </row>
    <row r="12" spans="1:10" x14ac:dyDescent="0.2">
      <c r="A12" t="s">
        <v>17</v>
      </c>
      <c r="B12">
        <f>'Historical Financials'!B10</f>
        <v>-117.9</v>
      </c>
      <c r="C12">
        <f>'Historical Financials'!C10</f>
        <v>-79.7</v>
      </c>
      <c r="D12">
        <f>'Historical Financials'!D10</f>
        <v>-82.8</v>
      </c>
      <c r="E12">
        <f>'Historical Financials'!E10</f>
        <v>-189.2</v>
      </c>
      <c r="F12">
        <f>F7+F10</f>
        <v>-38.737500000000011</v>
      </c>
      <c r="G12">
        <f>G7+G10</f>
        <v>19.650624999999991</v>
      </c>
      <c r="H12">
        <f>H7+H10</f>
        <v>71.978850000000079</v>
      </c>
      <c r="I12">
        <f>I7+I10</f>
        <v>112.40479000000005</v>
      </c>
      <c r="J12">
        <f>J7+J10</f>
        <v>142.07337401375025</v>
      </c>
    </row>
    <row r="13" spans="1:10" x14ac:dyDescent="0.2">
      <c r="A13" t="s">
        <v>11</v>
      </c>
      <c r="B13" s="3">
        <f>B12/B3</f>
        <v>-8.534201954397394E-2</v>
      </c>
      <c r="C13" s="3">
        <f>C12/C3</f>
        <v>-4.8805878750765461E-2</v>
      </c>
      <c r="D13" s="3">
        <f>D12/D3</f>
        <v>-5.2276027526990336E-2</v>
      </c>
      <c r="E13" s="3">
        <f>E12/E3</f>
        <v>-0.15043333068299275</v>
      </c>
      <c r="F13" s="3">
        <f>F12/F3</f>
        <v>-2.8881640260950615E-2</v>
      </c>
      <c r="G13" s="3">
        <f>G12/G3</f>
        <v>1.3398534049262757E-2</v>
      </c>
      <c r="H13" s="3">
        <f>H12/H3</f>
        <v>4.5711595739951656E-2</v>
      </c>
      <c r="I13" s="3">
        <f>I12/I3</f>
        <v>6.7368284845543316E-2</v>
      </c>
      <c r="J13" s="3">
        <f>J12/J3</f>
        <v>8.1377292074994612E-2</v>
      </c>
    </row>
    <row r="14" spans="1:10" s="4" customFormat="1" x14ac:dyDescent="0.2">
      <c r="A14" s="4" t="s">
        <v>36</v>
      </c>
      <c r="B14" s="4">
        <v>-23.9</v>
      </c>
      <c r="C14" s="4">
        <v>-31.5</v>
      </c>
      <c r="D14" s="4">
        <v>-16.7</v>
      </c>
      <c r="E14" s="4">
        <v>-70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</row>
    <row r="15" spans="1:10" x14ac:dyDescent="0.2">
      <c r="A15" t="s">
        <v>25</v>
      </c>
      <c r="B15">
        <f>B12+B14</f>
        <v>-141.80000000000001</v>
      </c>
      <c r="C15">
        <f t="shared" ref="C15:E15" si="2">C12+C14</f>
        <v>-111.2</v>
      </c>
      <c r="D15">
        <f t="shared" si="2"/>
        <v>-99.5</v>
      </c>
      <c r="E15">
        <f t="shared" si="2"/>
        <v>-259.2</v>
      </c>
      <c r="F15">
        <f>F12+F14</f>
        <v>-38.737500000000011</v>
      </c>
      <c r="G15">
        <f>G12+G14</f>
        <v>19.650624999999991</v>
      </c>
      <c r="H15">
        <f>H12+H14</f>
        <v>71.978850000000079</v>
      </c>
      <c r="I15">
        <f>I12+I14</f>
        <v>112.40479000000005</v>
      </c>
      <c r="J15">
        <f>J12+J14</f>
        <v>142.07337401375025</v>
      </c>
    </row>
    <row r="17" spans="1:10" x14ac:dyDescent="0.2">
      <c r="A17" t="s">
        <v>33</v>
      </c>
      <c r="B17">
        <v>-353.2</v>
      </c>
      <c r="C17">
        <v>-128.6</v>
      </c>
      <c r="D17">
        <v>-189.6</v>
      </c>
      <c r="E17">
        <v>-104.7</v>
      </c>
      <c r="F17">
        <f>E17</f>
        <v>-104.7</v>
      </c>
      <c r="G17">
        <f>F17</f>
        <v>-104.7</v>
      </c>
      <c r="H17">
        <f>G17</f>
        <v>-104.7</v>
      </c>
      <c r="I17">
        <f>H17</f>
        <v>-104.7</v>
      </c>
      <c r="J17">
        <f>I17</f>
        <v>-104.7</v>
      </c>
    </row>
    <row r="18" spans="1:10" x14ac:dyDescent="0.2">
      <c r="A18" t="s">
        <v>18</v>
      </c>
      <c r="B18">
        <f>B15+B17</f>
        <v>-495</v>
      </c>
      <c r="C18">
        <f t="shared" ref="C18:E18" si="3">C15+C17</f>
        <v>-239.8</v>
      </c>
      <c r="D18">
        <f t="shared" si="3"/>
        <v>-289.10000000000002</v>
      </c>
      <c r="E18">
        <f t="shared" si="3"/>
        <v>-363.9</v>
      </c>
      <c r="F18">
        <f>F15+F17</f>
        <v>-143.4375</v>
      </c>
      <c r="G18">
        <f>G15+G17</f>
        <v>-85.049375000000012</v>
      </c>
      <c r="H18">
        <f>H15+H17</f>
        <v>-32.721149999999923</v>
      </c>
      <c r="I18">
        <f>I15+I17</f>
        <v>7.7047900000000453</v>
      </c>
      <c r="J18">
        <f>J15+J17</f>
        <v>37.373374013750251</v>
      </c>
    </row>
    <row r="20" spans="1:10" x14ac:dyDescent="0.2">
      <c r="A20" t="s">
        <v>34</v>
      </c>
      <c r="B20">
        <f>'Historical Financials'!B15</f>
        <v>-32.700000000000003</v>
      </c>
      <c r="C20">
        <f>'Historical Financials'!C15</f>
        <v>13</v>
      </c>
      <c r="D20">
        <f>'Historical Financials'!D15</f>
        <v>-34.4</v>
      </c>
      <c r="E20">
        <f>'Historical Financials'!E15</f>
        <v>-129.1</v>
      </c>
      <c r="F20">
        <f>IF(F18&gt;0,-F18*Assumptions!B17,0)</f>
        <v>0</v>
      </c>
      <c r="G20">
        <f>IF(G18&gt;0,-G18*Assumptions!C17,0)</f>
        <v>0</v>
      </c>
      <c r="H20">
        <f>IF(H18&gt;0,-H18*Assumptions!D17,0)</f>
        <v>0</v>
      </c>
      <c r="I20">
        <f>IF(I18&gt;0,-I18*Assumptions!E17,0)</f>
        <v>-1.9261975000000113</v>
      </c>
      <c r="J20">
        <f>IF(J18&gt;0,-J18*Assumptions!F17,0)</f>
        <v>-9.3433435034375627</v>
      </c>
    </row>
    <row r="21" spans="1:10" x14ac:dyDescent="0.2">
      <c r="A21" t="s">
        <v>35</v>
      </c>
      <c r="B21">
        <f>B18+B20</f>
        <v>-527.70000000000005</v>
      </c>
      <c r="C21">
        <f t="shared" ref="C21:E21" si="4">C18+C20</f>
        <v>-226.8</v>
      </c>
      <c r="D21">
        <f t="shared" si="4"/>
        <v>-323.5</v>
      </c>
      <c r="E21">
        <f t="shared" si="4"/>
        <v>-493</v>
      </c>
      <c r="F21">
        <f>F18+F20</f>
        <v>-143.4375</v>
      </c>
      <c r="G21">
        <f>G18+G20</f>
        <v>-85.049375000000012</v>
      </c>
      <c r="H21">
        <f>H18+H20</f>
        <v>-32.721149999999923</v>
      </c>
      <c r="I21">
        <f>I18+I20</f>
        <v>5.778592500000034</v>
      </c>
      <c r="J21">
        <f>J18+J20</f>
        <v>28.030030510312688</v>
      </c>
    </row>
    <row r="23" spans="1:10" x14ac:dyDescent="0.2">
      <c r="A23" t="s">
        <v>19</v>
      </c>
      <c r="B23">
        <f>'Historical Financials'!B18</f>
        <v>190.2</v>
      </c>
      <c r="C23">
        <f>'Historical Financials'!C18</f>
        <v>305.89999999999998</v>
      </c>
      <c r="D23">
        <f>'Historical Financials'!D18</f>
        <v>271</v>
      </c>
      <c r="E23">
        <f>'Historical Financials'!E18</f>
        <v>108.1</v>
      </c>
      <c r="F23">
        <f>F11+F12</f>
        <v>277.79749999999996</v>
      </c>
      <c r="G23">
        <f>G11+G12</f>
        <v>365.77412499999997</v>
      </c>
      <c r="H23">
        <f>H11+H12</f>
        <v>443.59153000000009</v>
      </c>
      <c r="I23">
        <f>I11+I12</f>
        <v>506.17361610000006</v>
      </c>
      <c r="J23">
        <f>J11+J12</f>
        <v>554.09637714275038</v>
      </c>
    </row>
    <row r="24" spans="1:10" x14ac:dyDescent="0.2">
      <c r="A24" t="s">
        <v>13</v>
      </c>
      <c r="B24" s="3">
        <f>B23/B3</f>
        <v>0.13767643865363735</v>
      </c>
      <c r="C24" s="3">
        <f>C23/C3</f>
        <v>0.1873239436619718</v>
      </c>
      <c r="D24" s="3">
        <f>D23/D3</f>
        <v>0.17109666014268576</v>
      </c>
      <c r="E24" s="3">
        <f>E23/E3</f>
        <v>8.5950544644986873E-2</v>
      </c>
      <c r="F24" s="3">
        <f>F23/F3</f>
        <v>0.20711835973904935</v>
      </c>
      <c r="G24" s="3">
        <f>G23/G3</f>
        <v>0.24939853404926274</v>
      </c>
      <c r="H24" s="3">
        <f>H23/H3</f>
        <v>0.28171159573995164</v>
      </c>
      <c r="I24" s="3">
        <f>I23/I3</f>
        <v>0.30336828484554335</v>
      </c>
      <c r="J24" s="3">
        <f>J23/J3</f>
        <v>0.31737729207499465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E116A-7D41-FD4D-AEA2-2C1C13246CC8}">
  <dimension ref="A1:J17"/>
  <sheetViews>
    <sheetView workbookViewId="0">
      <selection activeCell="E4" sqref="E4"/>
    </sheetView>
  </sheetViews>
  <sheetFormatPr baseColWidth="10" defaultRowHeight="16" x14ac:dyDescent="0.2"/>
  <cols>
    <col min="1" max="1" width="26.5" customWidth="1"/>
  </cols>
  <sheetData>
    <row r="1" spans="1:10" x14ac:dyDescent="0.2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</row>
    <row r="3" spans="1:10" x14ac:dyDescent="0.2">
      <c r="A3" t="s">
        <v>19</v>
      </c>
      <c r="B3">
        <f>'Income Statement'!B23</f>
        <v>190.2</v>
      </c>
      <c r="C3">
        <f>'Income Statement'!C23</f>
        <v>305.89999999999998</v>
      </c>
      <c r="D3">
        <f>'Income Statement'!D23</f>
        <v>271</v>
      </c>
      <c r="E3">
        <f>'Income Statement'!E23</f>
        <v>108.1</v>
      </c>
      <c r="F3">
        <f>'Income Statement'!F23</f>
        <v>277.79749999999996</v>
      </c>
      <c r="G3">
        <f>'Income Statement'!G23</f>
        <v>365.77412499999997</v>
      </c>
      <c r="H3">
        <f>'Income Statement'!H23</f>
        <v>443.59153000000009</v>
      </c>
      <c r="I3">
        <f>'Income Statement'!I23</f>
        <v>506.17361610000006</v>
      </c>
      <c r="J3">
        <f>'Income Statement'!J23</f>
        <v>554.09637714275038</v>
      </c>
    </row>
    <row r="4" spans="1:10" x14ac:dyDescent="0.2">
      <c r="A4" t="s">
        <v>52</v>
      </c>
      <c r="C4">
        <v>-86</v>
      </c>
      <c r="D4">
        <v>-118</v>
      </c>
      <c r="E4">
        <v>6</v>
      </c>
    </row>
    <row r="5" spans="1:10" x14ac:dyDescent="0.2">
      <c r="A5" t="s">
        <v>20</v>
      </c>
      <c r="B5">
        <f>'Historical Financials'!B21</f>
        <v>127.1</v>
      </c>
      <c r="C5">
        <f>'Historical Financials'!C21</f>
        <v>145.9</v>
      </c>
      <c r="D5">
        <f>'Historical Financials'!D21</f>
        <v>123.9</v>
      </c>
      <c r="E5">
        <f>'Historical Financials'!E21</f>
        <v>74.099999999999994</v>
      </c>
      <c r="F5">
        <f>F3*Assumptions!B20</f>
        <v>190.29128749999998</v>
      </c>
      <c r="G5">
        <f>G3*Assumptions!C20</f>
        <v>250.55527562500001</v>
      </c>
      <c r="H5">
        <f>H3*Assumptions!D20</f>
        <v>303.86019805000006</v>
      </c>
      <c r="I5">
        <f>I3*Assumptions!E20</f>
        <v>346.7289270285001</v>
      </c>
      <c r="J5">
        <f>J3*Assumptions!F20</f>
        <v>379.55601834278406</v>
      </c>
    </row>
    <row r="6" spans="1:10" x14ac:dyDescent="0.2">
      <c r="A6" t="s">
        <v>40</v>
      </c>
      <c r="B6">
        <f>'Historical Financials'!B22</f>
        <v>-286.89999999999998</v>
      </c>
      <c r="C6">
        <f>'Historical Financials'!C22</f>
        <v>-396.9</v>
      </c>
      <c r="D6">
        <f>'Historical Financials'!D22</f>
        <v>-400.6</v>
      </c>
      <c r="E6">
        <f>'Historical Financials'!E22</f>
        <v>-341</v>
      </c>
      <c r="F6">
        <f>Assumptions!B16</f>
        <v>-340</v>
      </c>
      <c r="G6">
        <f>Assumptions!C16</f>
        <v>-340</v>
      </c>
      <c r="H6">
        <f>Assumptions!D16</f>
        <v>-340</v>
      </c>
      <c r="I6">
        <f>Assumptions!E16</f>
        <v>-340</v>
      </c>
      <c r="J6">
        <f>Assumptions!F16</f>
        <v>-340</v>
      </c>
    </row>
    <row r="7" spans="1:10" x14ac:dyDescent="0.2">
      <c r="A7" t="s">
        <v>45</v>
      </c>
      <c r="B7">
        <v>-139</v>
      </c>
      <c r="C7">
        <v>-109</v>
      </c>
      <c r="D7">
        <v>-114.9</v>
      </c>
      <c r="E7">
        <v>-143</v>
      </c>
      <c r="F7">
        <f>F17</f>
        <v>-144.9315</v>
      </c>
      <c r="G7">
        <f t="shared" ref="G7:J7" si="0">G17</f>
        <v>-175.86872231249998</v>
      </c>
      <c r="H7">
        <f t="shared" si="0"/>
        <v>-203.72663421468749</v>
      </c>
      <c r="I7">
        <f t="shared" si="0"/>
        <v>-228.91261001197967</v>
      </c>
      <c r="J7">
        <f t="shared" si="0"/>
        <v>-252.24189672524506</v>
      </c>
    </row>
    <row r="8" spans="1:10" x14ac:dyDescent="0.2">
      <c r="A8" t="s">
        <v>21</v>
      </c>
      <c r="B8">
        <f>B5+B6+B7</f>
        <v>-298.79999999999995</v>
      </c>
      <c r="C8">
        <f t="shared" ref="C8:E8" si="1">C5+C6+C7</f>
        <v>-360</v>
      </c>
      <c r="D8">
        <f t="shared" si="1"/>
        <v>-391.6</v>
      </c>
      <c r="E8">
        <f t="shared" si="1"/>
        <v>-409.9</v>
      </c>
      <c r="F8">
        <f>F5+F6+F7</f>
        <v>-294.64021250000002</v>
      </c>
      <c r="G8">
        <f>G5+G6+G7</f>
        <v>-265.3134466875</v>
      </c>
      <c r="H8">
        <f>H5+H6+H7</f>
        <v>-239.86643616468743</v>
      </c>
      <c r="I8">
        <f t="shared" ref="I8:J8" si="2">I5+I6+I7</f>
        <v>-222.18368298347957</v>
      </c>
      <c r="J8">
        <f t="shared" si="2"/>
        <v>-212.685878382461</v>
      </c>
    </row>
    <row r="11" spans="1:10" x14ac:dyDescent="0.2">
      <c r="A11" t="s">
        <v>46</v>
      </c>
      <c r="F11">
        <f>'Historical Financials'!E27</f>
        <v>1380.3</v>
      </c>
      <c r="G11">
        <f>F14</f>
        <v>1674.9402124999999</v>
      </c>
      <c r="H11">
        <f>G14</f>
        <v>1940.2536591875</v>
      </c>
      <c r="I11">
        <f t="shared" ref="I11:J11" si="3">H14</f>
        <v>2180.1200953521875</v>
      </c>
      <c r="J11">
        <f t="shared" si="3"/>
        <v>2402.3037783356672</v>
      </c>
    </row>
    <row r="12" spans="1:10" x14ac:dyDescent="0.2">
      <c r="A12" t="s">
        <v>21</v>
      </c>
      <c r="F12">
        <f>F8</f>
        <v>-294.64021250000002</v>
      </c>
      <c r="G12">
        <f>G8</f>
        <v>-265.3134466875</v>
      </c>
      <c r="H12">
        <f t="shared" ref="H12:J12" si="4">H8</f>
        <v>-239.86643616468743</v>
      </c>
      <c r="I12">
        <f t="shared" si="4"/>
        <v>-222.18368298347957</v>
      </c>
      <c r="J12">
        <f t="shared" si="4"/>
        <v>-212.685878382461</v>
      </c>
    </row>
    <row r="13" spans="1:10" x14ac:dyDescent="0.2">
      <c r="A13" t="s">
        <v>47</v>
      </c>
      <c r="F13">
        <f>-F12</f>
        <v>294.64021250000002</v>
      </c>
      <c r="G13">
        <f>-G12</f>
        <v>265.3134466875</v>
      </c>
      <c r="H13">
        <f t="shared" ref="H13:J13" si="5">-H12</f>
        <v>239.86643616468743</v>
      </c>
      <c r="I13">
        <f t="shared" si="5"/>
        <v>222.18368298347957</v>
      </c>
      <c r="J13">
        <f t="shared" si="5"/>
        <v>212.685878382461</v>
      </c>
    </row>
    <row r="14" spans="1:10" x14ac:dyDescent="0.2">
      <c r="A14" t="s">
        <v>48</v>
      </c>
      <c r="F14">
        <f>F11+F13</f>
        <v>1674.9402124999999</v>
      </c>
      <c r="G14">
        <f>G11+G13</f>
        <v>1940.2536591875</v>
      </c>
      <c r="H14">
        <f t="shared" ref="H14:J14" si="6">H11+H13</f>
        <v>2180.1200953521875</v>
      </c>
      <c r="I14">
        <f t="shared" si="6"/>
        <v>2402.3037783356672</v>
      </c>
      <c r="J14">
        <f t="shared" si="6"/>
        <v>2614.9896567181281</v>
      </c>
    </row>
    <row r="15" spans="1:10" x14ac:dyDescent="0.2">
      <c r="A15" t="s">
        <v>49</v>
      </c>
      <c r="F15">
        <f>(F11+F14)/2</f>
        <v>1527.6201062499999</v>
      </c>
      <c r="G15">
        <f t="shared" ref="G15:J15" si="7">(G11+G14)/2</f>
        <v>1807.5969358437501</v>
      </c>
      <c r="H15">
        <f t="shared" si="7"/>
        <v>2060.1868772698435</v>
      </c>
      <c r="I15">
        <f t="shared" si="7"/>
        <v>2291.2119368439271</v>
      </c>
      <c r="J15">
        <f t="shared" si="7"/>
        <v>2508.6467175268976</v>
      </c>
    </row>
    <row r="16" spans="1:10" x14ac:dyDescent="0.2">
      <c r="A16" t="s">
        <v>50</v>
      </c>
      <c r="F16" s="2">
        <f>Assumptions!B21</f>
        <v>0.105</v>
      </c>
      <c r="G16" s="2">
        <f>Assumptions!C21</f>
        <v>0.105</v>
      </c>
      <c r="H16" s="2">
        <f>Assumptions!D21</f>
        <v>0.105</v>
      </c>
      <c r="I16" s="2">
        <f>Assumptions!E21</f>
        <v>0.105</v>
      </c>
      <c r="J16" s="2">
        <f>Assumptions!F21</f>
        <v>0.105</v>
      </c>
    </row>
    <row r="17" spans="1:10" x14ac:dyDescent="0.2">
      <c r="A17" t="s">
        <v>51</v>
      </c>
      <c r="F17">
        <f>-F11*Assumptions!B21</f>
        <v>-144.9315</v>
      </c>
      <c r="G17">
        <f>-G11*Assumptions!C21</f>
        <v>-175.86872231249998</v>
      </c>
      <c r="H17">
        <f>-H11*Assumptions!D21</f>
        <v>-203.72663421468749</v>
      </c>
      <c r="I17">
        <f>-I11*Assumptions!E21</f>
        <v>-228.91261001197967</v>
      </c>
      <c r="J17">
        <f>-J11*Assumptions!F21</f>
        <v>-252.24189672524506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DA86A-8A05-7C43-9F12-DD05902845AE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73F71-08D0-3E48-AF7C-055D4354450D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9B086-9EFA-E540-86E6-14E628D1F846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75D-5602-DA43-990F-76EA006A059E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Historical Financials</vt:lpstr>
      <vt:lpstr>Assumptions</vt:lpstr>
      <vt:lpstr>Income Statement</vt:lpstr>
      <vt:lpstr>Cash Flow</vt:lpstr>
      <vt:lpstr>DCF</vt:lpstr>
      <vt:lpstr>Comparable Companies</vt:lpstr>
      <vt:lpstr>Sensitivity Analysis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Tanishq Belide</dc:creator>
  <cp:lastModifiedBy>Tanishq Belide</cp:lastModifiedBy>
  <dcterms:created xsi:type="dcterms:W3CDTF">2026-08-16T14:02:20Z</dcterms:created>
  <dcterms:modified xsi:type="dcterms:W3CDTF">2026-08-20T08:53:02Z</dcterms:modified>
</cp:coreProperties>
</file>